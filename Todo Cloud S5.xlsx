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IES\WEB\PROJET_MOBILE\"/>
    </mc:Choice>
  </mc:AlternateContent>
  <bookViews>
    <workbookView xWindow="0" yWindow="0" windowWidth="19200" windowHeight="7665"/>
  </bookViews>
  <sheets>
    <sheet name="liste des taches" sheetId="2" r:id="rId1"/>
    <sheet name="groupe" sheetId="1" r:id="rId2"/>
    <sheet name="Recap" sheetId="3" r:id="rId3"/>
    <sheet name="avancement" sheetId="4" r:id="rId4"/>
    <sheet name="detail_avancement" sheetId="5" r:id="rId5"/>
  </sheets>
  <calcPr calcId="162913"/>
  <pivotCaches>
    <pivotCache cacheId="3" r:id="rId6"/>
  </pivotCaches>
</workbook>
</file>

<file path=xl/calcChain.xml><?xml version="1.0" encoding="utf-8"?>
<calcChain xmlns="http://schemas.openxmlformats.org/spreadsheetml/2006/main">
  <c r="K15" i="2" l="1"/>
  <c r="K14" i="2"/>
  <c r="K13" i="2"/>
  <c r="K12" i="2"/>
  <c r="K11" i="2"/>
  <c r="B10" i="5"/>
  <c r="B9" i="5"/>
  <c r="B8" i="5"/>
  <c r="B7" i="5"/>
  <c r="B6" i="5"/>
  <c r="B5" i="5"/>
  <c r="B4" i="5"/>
  <c r="B3" i="5"/>
  <c r="B2" i="5"/>
  <c r="A2" i="4"/>
  <c r="K9" i="2"/>
  <c r="K8" i="2"/>
  <c r="J6" i="2"/>
  <c r="K3" i="2" l="1"/>
  <c r="J10" i="2"/>
  <c r="K10" i="2" s="1"/>
  <c r="J7" i="2"/>
  <c r="K7" i="2" s="1"/>
  <c r="K4" i="2"/>
  <c r="K6" i="2"/>
  <c r="J5" i="2"/>
  <c r="K5" i="2" s="1"/>
  <c r="K2" i="2"/>
  <c r="J2" i="2"/>
  <c r="C2" i="4"/>
  <c r="C3" i="4"/>
  <c r="E2" i="4"/>
  <c r="I2" i="2"/>
  <c r="B2" i="4"/>
  <c r="D2" i="4"/>
  <c r="B12" i="3"/>
</calcChain>
</file>

<file path=xl/sharedStrings.xml><?xml version="1.0" encoding="utf-8"?>
<sst xmlns="http://schemas.openxmlformats.org/spreadsheetml/2006/main" count="171" uniqueCount="80">
  <si>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</si>
  <si>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</si>
  <si>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</si>
  <si>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</si>
  <si>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</si>
  <si>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</si>
  <si>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</si>
  <si>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</si>
  <si>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</si>
  <si>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</si>
  <si>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</si>
  <si>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</si>
  <si>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</si>
  <si>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</si>
  <si>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</si>
  <si>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</si>
  <si>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</si>
  <si>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</si>
  <si>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Gestion Login</t>
  </si>
  <si>
    <t>Index</t>
  </si>
  <si>
    <t>Affichage</t>
  </si>
  <si>
    <t>Design css</t>
  </si>
  <si>
    <t>Metier</t>
  </si>
  <si>
    <t>checkLogin</t>
  </si>
  <si>
    <t>Integration</t>
  </si>
  <si>
    <t>Gestion Categorie</t>
  </si>
  <si>
    <t>Base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</si>
  <si>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</si>
  <si>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</si>
  <si>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</si>
  <si>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</si>
  <si>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</si>
  <si>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</si>
  <si>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</si>
  <si>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</si>
  <si>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</si>
  <si>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</si>
  <si>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</si>
  <si>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</si>
  <si>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</si>
  <si>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ETU003597</t>
  </si>
  <si>
    <t>ETU003623</t>
  </si>
  <si>
    <t>ETU003590</t>
  </si>
  <si>
    <t>ETU003558</t>
  </si>
  <si>
    <t>Mobile</t>
  </si>
  <si>
    <t>Création page</t>
  </si>
  <si>
    <t>Gestion Voitures</t>
  </si>
  <si>
    <t>Insertion</t>
  </si>
  <si>
    <t>Insertion voitures</t>
  </si>
  <si>
    <t>Gestion Pannes</t>
  </si>
  <si>
    <t>Données voitures</t>
  </si>
  <si>
    <t>Gestion voitures</t>
  </si>
  <si>
    <t>Métier</t>
  </si>
  <si>
    <t>Enregistrement insertion</t>
  </si>
  <si>
    <t>Insertion pannes</t>
  </si>
  <si>
    <t>Données pannes</t>
  </si>
  <si>
    <t>Gestion paiement</t>
  </si>
  <si>
    <t>Paiement</t>
  </si>
  <si>
    <t>Effectuation paiement</t>
  </si>
  <si>
    <t>Process paiement</t>
  </si>
  <si>
    <t>Enregistrement paiement</t>
  </si>
  <si>
    <t>Boutton</t>
  </si>
  <si>
    <t>Ajout notification</t>
  </si>
  <si>
    <t>Effectuation notification</t>
  </si>
  <si>
    <t>Gestion firebase</t>
  </si>
  <si>
    <t>Firebase</t>
  </si>
  <si>
    <t>Configuration</t>
  </si>
  <si>
    <t>Synchronisation</t>
  </si>
  <si>
    <t>Notification</t>
  </si>
  <si>
    <t>Godot</t>
  </si>
  <si>
    <t>Personnage</t>
  </si>
  <si>
    <t>Scène</t>
  </si>
  <si>
    <t>Texturer le personnage</t>
  </si>
  <si>
    <t>Déplacement personnage</t>
  </si>
  <si>
    <t>Background</t>
  </si>
  <si>
    <t>Création background</t>
  </si>
  <si>
    <t>Limitation zone</t>
  </si>
  <si>
    <t>Création slot</t>
  </si>
  <si>
    <t>Voiture</t>
  </si>
  <si>
    <t>Texturer voitures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</si>
</sst>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"/>
  </numFmts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0" xfId="0" applyFont="1"/>
    <xf numFmtId="0" fontId="8" fillId="3" borderId="0" xfId="0" applyFont="1" applyFill="1" applyAlignment="1"/>
    <xf numFmtId="10" fontId="8" fillId="3" borderId="0" xfId="0" applyNumberFormat="1" applyFont="1" applyFill="1"/>
    <xf numFmtId="0" fontId="9" fillId="4" borderId="2" xfId="0" applyFont="1" applyFill="1" applyBorder="1" applyAlignment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 applyAlignment="1"/>
    <xf numFmtId="0" fontId="11" fillId="4" borderId="0" xfId="0" applyFont="1" applyFill="1" applyAlignment="1"/>
    <xf numFmtId="0" fontId="11" fillId="0" borderId="0" xfId="0" applyFont="1" applyAlignme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7" fillId="0" borderId="0" xfId="0" applyFont="1" applyAlignment="1"/>
    <xf numFmtId="0" fontId="0" fillId="0" borderId="3" xfId="0" applyFont="1" applyBorder="1" applyAlignme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2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1" fillId="0" borderId="1" xfId="0" applyFont="1" applyBorder="1" applyAlignment="1"/>
    <xf numFmtId="0" fontId="4" fillId="0" borderId="0" xfId="0" applyFont="1" applyAlignment="1"/>
    <xf numFmtId="10" fontId="1" fillId="0" borderId="13" xfId="0" applyNumberFormat="1" applyFont="1" applyFill="1" applyBorder="1" applyAlignment="1">
      <alignment horizontal="right"/>
    </xf>
    <xf numFmtId="0" fontId="4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Itoavina RAMAROKOTO" refreshedDate="46049.70453171296" refreshedVersion="6" recordCount="20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Backoffice"/>
    <s v="Gestion Login"/>
    <s v="Index"/>
    <s v="Création html"/>
    <s v="Affichage"/>
    <x v="0"/>
    <n v="30"/>
    <n v="20"/>
    <n v="10"/>
    <n v="0.66666666666666663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33333331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3" applyNumberFormats="0" applyBorderFormats="0" applyFontFormats="0" applyPatternFormats="0" applyAlignmentFormats="0" applyWidthHeightFormats="0" dataCaption="" updatedVersion="6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x="1"/>
        <item x="0"/>
        <item x="2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3"/>
  <sheetViews>
    <sheetView tabSelected="1" topLeftCell="D1" workbookViewId="0">
      <selection activeCell="E22" sqref="E22"/>
    </sheetView>
  </sheetViews>
  <sheetFormatPr baseColWidth="10" defaultColWidth="12.59765625" defaultRowHeight="15.75" customHeight="1"/>
  <cols>
    <col min="1" max="1" width="5.86328125" customWidth="1"/>
    <col min="2" max="2" width="19" customWidth="1"/>
    <col min="3" max="3" width="18" customWidth="1"/>
    <col min="5" max="5" width="16.3984375" customWidth="1"/>
  </cols>
  <sheetData>
    <row r="1" spans="1:11" ht="15.75" customHeight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ht="12.75">
      <c r="A2" s="5">
        <v>1</v>
      </c>
      <c r="B2" s="5" t="s">
        <v>44</v>
      </c>
      <c r="C2" s="6" t="s">
        <v>18</v>
      </c>
      <c r="D2" s="7" t="s">
        <v>19</v>
      </c>
      <c r="E2" s="8" t="s">
        <v>45</v>
      </c>
      <c r="F2" s="9" t="s">
        <v>20</v>
      </c>
      <c r="G2" s="44" t="s">
        <v>40</v>
      </c>
      <c r="H2" s="7">
        <v>30</v>
      </c>
      <c r="I2" s="10">
        <f ca="1">H2-I2</f>
        <v>0</v>
      </c>
      <c r="J2" s="10">
        <f t="shared" ref="J2:J7" ca="1" si="0">H2-I2</f>
        <v>0</v>
      </c>
      <c r="K2" s="11">
        <f t="shared" ref="K2:K20" ca="1" si="1">(I2/(I2+J2))</f>
        <v>1</v>
      </c>
    </row>
    <row r="3" spans="1:11" ht="12.75">
      <c r="A3" s="5">
        <v>2</v>
      </c>
      <c r="B3" s="5" t="s">
        <v>44</v>
      </c>
      <c r="C3" s="9" t="s">
        <v>18</v>
      </c>
      <c r="D3" s="7" t="s">
        <v>19</v>
      </c>
      <c r="E3" s="8" t="s">
        <v>21</v>
      </c>
      <c r="F3" s="9" t="s">
        <v>22</v>
      </c>
      <c r="G3" s="44" t="s">
        <v>40</v>
      </c>
      <c r="H3" s="7">
        <v>20</v>
      </c>
      <c r="I3" s="10">
        <v>20</v>
      </c>
      <c r="J3" s="10">
        <v>0</v>
      </c>
      <c r="K3" s="11">
        <f t="shared" si="1"/>
        <v>1</v>
      </c>
    </row>
    <row r="4" spans="1:11" ht="12.75">
      <c r="A4" s="5">
        <v>3</v>
      </c>
      <c r="B4" s="5" t="s">
        <v>44</v>
      </c>
      <c r="C4" s="9" t="s">
        <v>18</v>
      </c>
      <c r="D4" s="7" t="s">
        <v>19</v>
      </c>
      <c r="E4" s="8" t="s">
        <v>23</v>
      </c>
      <c r="F4" s="9" t="s">
        <v>24</v>
      </c>
      <c r="G4" s="44" t="s">
        <v>40</v>
      </c>
      <c r="H4" s="7">
        <v>30</v>
      </c>
      <c r="I4" s="10">
        <v>30</v>
      </c>
      <c r="J4" s="10">
        <v>0</v>
      </c>
      <c r="K4" s="11">
        <f t="shared" si="1"/>
        <v>1</v>
      </c>
    </row>
    <row r="5" spans="1:11" ht="12.75">
      <c r="A5" s="5">
        <v>4</v>
      </c>
      <c r="B5" s="5" t="s">
        <v>44</v>
      </c>
      <c r="C5" s="9" t="s">
        <v>46</v>
      </c>
      <c r="D5" s="44" t="s">
        <v>47</v>
      </c>
      <c r="E5" s="8" t="s">
        <v>48</v>
      </c>
      <c r="F5" s="9" t="s">
        <v>20</v>
      </c>
      <c r="G5" s="44" t="s">
        <v>40</v>
      </c>
      <c r="H5" s="7">
        <v>20</v>
      </c>
      <c r="I5" s="10">
        <v>20</v>
      </c>
      <c r="J5" s="10">
        <f t="shared" si="0"/>
        <v>0</v>
      </c>
      <c r="K5" s="11">
        <f t="shared" si="1"/>
        <v>1</v>
      </c>
    </row>
    <row r="6" spans="1:11" ht="12.75">
      <c r="A6" s="5">
        <v>5</v>
      </c>
      <c r="B6" s="5" t="s">
        <v>44</v>
      </c>
      <c r="C6" s="9" t="s">
        <v>46</v>
      </c>
      <c r="D6" s="44" t="s">
        <v>47</v>
      </c>
      <c r="E6" s="8" t="s">
        <v>50</v>
      </c>
      <c r="F6" s="9" t="s">
        <v>26</v>
      </c>
      <c r="G6" s="44" t="s">
        <v>40</v>
      </c>
      <c r="H6" s="7">
        <v>40</v>
      </c>
      <c r="I6" s="10">
        <v>40</v>
      </c>
      <c r="J6" s="10">
        <f t="shared" si="0"/>
        <v>0</v>
      </c>
      <c r="K6" s="11">
        <f t="shared" si="1"/>
        <v>1</v>
      </c>
    </row>
    <row r="7" spans="1:11" ht="12.75">
      <c r="A7" s="5">
        <v>6</v>
      </c>
      <c r="B7" s="5" t="s">
        <v>44</v>
      </c>
      <c r="C7" s="9" t="s">
        <v>51</v>
      </c>
      <c r="D7" s="44" t="s">
        <v>47</v>
      </c>
      <c r="E7" s="9" t="s">
        <v>53</v>
      </c>
      <c r="F7" s="9" t="s">
        <v>52</v>
      </c>
      <c r="G7" s="44" t="s">
        <v>40</v>
      </c>
      <c r="H7" s="7">
        <v>40</v>
      </c>
      <c r="I7" s="10">
        <v>40</v>
      </c>
      <c r="J7" s="10">
        <f t="shared" si="0"/>
        <v>0</v>
      </c>
      <c r="K7" s="11">
        <f t="shared" si="1"/>
        <v>1</v>
      </c>
    </row>
    <row r="8" spans="1:11" ht="12.75">
      <c r="A8" s="5">
        <v>7</v>
      </c>
      <c r="B8" s="5" t="s">
        <v>44</v>
      </c>
      <c r="C8" s="9" t="s">
        <v>49</v>
      </c>
      <c r="D8" s="44" t="s">
        <v>47</v>
      </c>
      <c r="E8" s="9" t="s">
        <v>54</v>
      </c>
      <c r="F8" s="9" t="s">
        <v>20</v>
      </c>
      <c r="G8" s="44" t="s">
        <v>40</v>
      </c>
      <c r="H8" s="7">
        <v>20</v>
      </c>
      <c r="I8" s="10">
        <v>20</v>
      </c>
      <c r="J8" s="12">
        <v>0</v>
      </c>
      <c r="K8" s="11">
        <f t="shared" si="1"/>
        <v>1</v>
      </c>
    </row>
    <row r="9" spans="1:11" ht="12.75">
      <c r="A9" s="5">
        <v>8</v>
      </c>
      <c r="B9" s="5" t="s">
        <v>44</v>
      </c>
      <c r="C9" s="9" t="s">
        <v>49</v>
      </c>
      <c r="D9" s="44" t="s">
        <v>47</v>
      </c>
      <c r="E9" s="9" t="s">
        <v>53</v>
      </c>
      <c r="F9" s="9" t="s">
        <v>22</v>
      </c>
      <c r="G9" s="44" t="s">
        <v>40</v>
      </c>
      <c r="H9" s="7">
        <v>40</v>
      </c>
      <c r="I9" s="10">
        <v>40</v>
      </c>
      <c r="J9" s="12">
        <v>0</v>
      </c>
      <c r="K9" s="11">
        <f t="shared" si="1"/>
        <v>1</v>
      </c>
    </row>
    <row r="10" spans="1:11" ht="12.75">
      <c r="A10" s="5">
        <v>9</v>
      </c>
      <c r="B10" s="5" t="s">
        <v>44</v>
      </c>
      <c r="C10" s="9" t="s">
        <v>25</v>
      </c>
      <c r="D10" s="44" t="s">
        <v>47</v>
      </c>
      <c r="E10" s="9" t="s">
        <v>55</v>
      </c>
      <c r="F10" s="7" t="s">
        <v>26</v>
      </c>
      <c r="G10" s="44" t="s">
        <v>40</v>
      </c>
      <c r="H10" s="7">
        <v>30</v>
      </c>
      <c r="I10" s="10">
        <v>30</v>
      </c>
      <c r="J10" s="10">
        <f>H10-I10</f>
        <v>0</v>
      </c>
      <c r="K10" s="11">
        <f t="shared" si="1"/>
        <v>1</v>
      </c>
    </row>
    <row r="11" spans="1:11" ht="12.75">
      <c r="A11" s="13">
        <v>10</v>
      </c>
      <c r="B11" s="5" t="s">
        <v>44</v>
      </c>
      <c r="C11" s="13" t="s">
        <v>56</v>
      </c>
      <c r="D11" s="13" t="s">
        <v>57</v>
      </c>
      <c r="E11" s="13" t="s">
        <v>58</v>
      </c>
      <c r="F11" s="13" t="s">
        <v>20</v>
      </c>
      <c r="G11" s="13" t="s">
        <v>40</v>
      </c>
      <c r="H11" s="13">
        <v>20</v>
      </c>
      <c r="I11" s="13">
        <v>20</v>
      </c>
      <c r="J11" s="13">
        <v>0</v>
      </c>
      <c r="K11" s="11">
        <f t="shared" si="1"/>
        <v>1</v>
      </c>
    </row>
    <row r="12" spans="1:11" ht="12.75">
      <c r="A12" s="13">
        <v>11</v>
      </c>
      <c r="B12" s="5" t="s">
        <v>44</v>
      </c>
      <c r="C12" s="13" t="s">
        <v>56</v>
      </c>
      <c r="D12" s="13" t="s">
        <v>57</v>
      </c>
      <c r="E12" s="13" t="s">
        <v>59</v>
      </c>
      <c r="F12" s="13" t="s">
        <v>52</v>
      </c>
      <c r="G12" s="13" t="s">
        <v>40</v>
      </c>
      <c r="H12" s="13">
        <v>40</v>
      </c>
      <c r="I12" s="13">
        <v>40</v>
      </c>
      <c r="J12" s="13">
        <v>0</v>
      </c>
      <c r="K12" s="11">
        <f t="shared" si="1"/>
        <v>1</v>
      </c>
    </row>
    <row r="13" spans="1:11" ht="12.75">
      <c r="A13" s="13">
        <v>12</v>
      </c>
      <c r="B13" s="5" t="s">
        <v>44</v>
      </c>
      <c r="C13" s="13" t="s">
        <v>56</v>
      </c>
      <c r="D13" s="13" t="s">
        <v>57</v>
      </c>
      <c r="E13" s="13" t="s">
        <v>60</v>
      </c>
      <c r="F13" s="7" t="s">
        <v>26</v>
      </c>
      <c r="G13" s="13" t="s">
        <v>40</v>
      </c>
      <c r="H13" s="13">
        <v>30</v>
      </c>
      <c r="I13" s="13">
        <v>30</v>
      </c>
      <c r="J13" s="13">
        <v>0</v>
      </c>
      <c r="K13" s="11">
        <f t="shared" si="1"/>
        <v>1</v>
      </c>
    </row>
    <row r="14" spans="1:11" ht="12.75">
      <c r="A14" s="13">
        <v>13</v>
      </c>
      <c r="B14" s="5" t="s">
        <v>44</v>
      </c>
      <c r="C14" s="13" t="s">
        <v>68</v>
      </c>
      <c r="D14" s="13" t="s">
        <v>61</v>
      </c>
      <c r="E14" s="13" t="s">
        <v>62</v>
      </c>
      <c r="F14" s="13" t="s">
        <v>20</v>
      </c>
      <c r="G14" s="13" t="s">
        <v>40</v>
      </c>
      <c r="H14" s="13">
        <v>20</v>
      </c>
      <c r="I14" s="13">
        <v>20</v>
      </c>
      <c r="J14" s="13">
        <v>0</v>
      </c>
      <c r="K14" s="11">
        <f t="shared" si="1"/>
        <v>1</v>
      </c>
    </row>
    <row r="15" spans="1:11" ht="12.75">
      <c r="A15" s="13">
        <v>14</v>
      </c>
      <c r="B15" s="5" t="s">
        <v>44</v>
      </c>
      <c r="C15" s="13" t="s">
        <v>68</v>
      </c>
      <c r="D15" s="13" t="s">
        <v>61</v>
      </c>
      <c r="E15" s="13" t="s">
        <v>63</v>
      </c>
      <c r="F15" s="13" t="s">
        <v>52</v>
      </c>
      <c r="G15" s="13" t="s">
        <v>40</v>
      </c>
      <c r="H15" s="13">
        <v>20</v>
      </c>
      <c r="I15" s="13">
        <v>20</v>
      </c>
      <c r="J15" s="13">
        <v>0</v>
      </c>
      <c r="K15" s="11">
        <f t="shared" si="1"/>
        <v>1</v>
      </c>
    </row>
    <row r="16" spans="1:11" ht="12.75">
      <c r="A16" s="13">
        <v>15</v>
      </c>
      <c r="B16" s="5" t="s">
        <v>44</v>
      </c>
      <c r="C16" s="13" t="s">
        <v>64</v>
      </c>
      <c r="D16" s="13" t="s">
        <v>65</v>
      </c>
      <c r="E16" s="13" t="s">
        <v>66</v>
      </c>
      <c r="F16" s="13" t="s">
        <v>52</v>
      </c>
      <c r="G16" s="13" t="s">
        <v>40</v>
      </c>
      <c r="H16" s="13">
        <v>40</v>
      </c>
      <c r="I16" s="13">
        <v>20</v>
      </c>
      <c r="J16" s="13">
        <v>20</v>
      </c>
      <c r="K16" s="11">
        <v>0.5</v>
      </c>
    </row>
    <row r="17" spans="1:11" ht="12.75">
      <c r="A17" s="13">
        <v>16</v>
      </c>
      <c r="B17" s="5" t="s">
        <v>44</v>
      </c>
      <c r="C17" s="13" t="s">
        <v>64</v>
      </c>
      <c r="D17" s="13" t="s">
        <v>65</v>
      </c>
      <c r="E17" s="13" t="s">
        <v>67</v>
      </c>
      <c r="F17" s="13" t="s">
        <v>52</v>
      </c>
      <c r="G17" s="13" t="s">
        <v>40</v>
      </c>
      <c r="H17" s="13">
        <v>50</v>
      </c>
      <c r="I17" s="13">
        <v>0</v>
      </c>
      <c r="J17" s="13">
        <v>50</v>
      </c>
      <c r="K17" s="11">
        <v>0</v>
      </c>
    </row>
    <row r="18" spans="1:11" ht="12.75">
      <c r="A18" s="13">
        <v>17</v>
      </c>
      <c r="B18" s="5" t="s">
        <v>69</v>
      </c>
      <c r="C18" s="13" t="s">
        <v>70</v>
      </c>
      <c r="D18" s="13" t="s">
        <v>71</v>
      </c>
      <c r="E18" s="13" t="s">
        <v>72</v>
      </c>
      <c r="F18" s="13" t="s">
        <v>20</v>
      </c>
      <c r="G18" s="13" t="s">
        <v>43</v>
      </c>
      <c r="H18" s="13">
        <v>30</v>
      </c>
      <c r="I18" s="13">
        <v>30</v>
      </c>
      <c r="J18" s="13">
        <v>0</v>
      </c>
      <c r="K18" s="11">
        <v>1</v>
      </c>
    </row>
    <row r="19" spans="1:11" ht="12.75">
      <c r="A19" s="13">
        <v>18</v>
      </c>
      <c r="B19" s="5" t="s">
        <v>69</v>
      </c>
      <c r="C19" s="13" t="s">
        <v>70</v>
      </c>
      <c r="D19" s="13" t="s">
        <v>71</v>
      </c>
      <c r="E19" s="13" t="s">
        <v>73</v>
      </c>
      <c r="F19" s="13" t="s">
        <v>52</v>
      </c>
      <c r="G19" s="13" t="s">
        <v>43</v>
      </c>
      <c r="H19" s="13">
        <v>40</v>
      </c>
      <c r="I19" s="13">
        <v>40</v>
      </c>
      <c r="J19" s="13">
        <v>0</v>
      </c>
      <c r="K19" s="11">
        <v>1</v>
      </c>
    </row>
    <row r="20" spans="1:11" ht="12.75">
      <c r="A20" s="13">
        <v>19</v>
      </c>
      <c r="B20" s="13" t="s">
        <v>69</v>
      </c>
      <c r="C20" s="13" t="s">
        <v>74</v>
      </c>
      <c r="D20" s="13" t="s">
        <v>71</v>
      </c>
      <c r="E20" s="13" t="s">
        <v>75</v>
      </c>
      <c r="F20" s="13" t="s">
        <v>20</v>
      </c>
      <c r="G20" s="13" t="s">
        <v>42</v>
      </c>
      <c r="H20" s="13">
        <v>20</v>
      </c>
      <c r="I20" s="13">
        <v>20</v>
      </c>
      <c r="J20" s="13">
        <v>0</v>
      </c>
      <c r="K20" s="11">
        <v>1</v>
      </c>
    </row>
    <row r="21" spans="1:11" ht="15.75" customHeight="1">
      <c r="A21" s="47">
        <v>20</v>
      </c>
      <c r="B21" s="13" t="s">
        <v>69</v>
      </c>
      <c r="C21" s="13" t="s">
        <v>74</v>
      </c>
      <c r="D21" s="13" t="s">
        <v>71</v>
      </c>
      <c r="E21" s="45" t="s">
        <v>76</v>
      </c>
      <c r="F21" s="45" t="s">
        <v>52</v>
      </c>
      <c r="G21" s="13" t="s">
        <v>42</v>
      </c>
      <c r="H21" s="45">
        <v>40</v>
      </c>
      <c r="I21" s="45">
        <v>40</v>
      </c>
      <c r="J21" s="45">
        <v>0</v>
      </c>
      <c r="K21" s="46">
        <v>1</v>
      </c>
    </row>
    <row r="22" spans="1:11" ht="15.75" customHeight="1">
      <c r="A22" s="47">
        <v>21</v>
      </c>
      <c r="B22" s="13" t="s">
        <v>69</v>
      </c>
      <c r="C22" s="13" t="s">
        <v>74</v>
      </c>
      <c r="D22" s="13" t="s">
        <v>71</v>
      </c>
      <c r="E22" s="45" t="s">
        <v>77</v>
      </c>
      <c r="F22" s="45" t="s">
        <v>52</v>
      </c>
      <c r="G22" s="45" t="s">
        <v>42</v>
      </c>
      <c r="H22" s="45">
        <v>30</v>
      </c>
      <c r="I22" s="45">
        <v>30</v>
      </c>
      <c r="J22" s="45">
        <v>0</v>
      </c>
      <c r="K22" s="46">
        <v>1</v>
      </c>
    </row>
    <row r="23" spans="1:11" ht="15.75" customHeight="1">
      <c r="A23" s="47">
        <v>22</v>
      </c>
      <c r="B23" s="47" t="s">
        <v>69</v>
      </c>
      <c r="C23" s="47" t="s">
        <v>78</v>
      </c>
      <c r="D23" s="45" t="s">
        <v>71</v>
      </c>
      <c r="E23" s="45" t="s">
        <v>79</v>
      </c>
      <c r="F23" s="45" t="s">
        <v>20</v>
      </c>
      <c r="G23" s="45" t="s">
        <v>43</v>
      </c>
      <c r="H23" s="45">
        <v>20</v>
      </c>
      <c r="I23" s="45">
        <v>20</v>
      </c>
      <c r="J23" s="45">
        <v>0</v>
      </c>
      <c r="K23" s="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"/>
  <sheetViews>
    <sheetView workbookViewId="0">
      <selection activeCell="B23" sqref="B23"/>
    </sheetView>
  </sheetViews>
  <sheetFormatPr baseColWidth="10" defaultColWidth="12.59765625" defaultRowHeight="15.75" customHeight="1"/>
  <sheetData>
    <row r="1" spans="1:2">
      <c r="A1" s="1" t="s">
        <v>40</v>
      </c>
      <c r="B1" s="1" t="s">
        <v>1</v>
      </c>
    </row>
    <row r="2" spans="1:2">
      <c r="A2" s="1" t="s">
        <v>41</v>
      </c>
      <c r="B2" s="1" t="s">
        <v>3</v>
      </c>
    </row>
    <row r="3" spans="1:2">
      <c r="A3" s="1" t="s">
        <v>42</v>
      </c>
      <c r="B3" s="1" t="s">
        <v>5</v>
      </c>
    </row>
    <row r="4" spans="1:2">
      <c r="A4" s="1" t="s">
        <v>43</v>
      </c>
      <c r="B4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2"/>
  <sheetViews>
    <sheetView showGridLines="0" workbookViewId="0">
      <selection activeCell="D4" sqref="D4"/>
    </sheetView>
  </sheetViews>
  <sheetFormatPr baseColWidth="10" defaultColWidth="12.59765625" defaultRowHeight="15.75" customHeight="1"/>
  <sheetData>
    <row r="1" spans="1:4">
      <c r="A1" s="27"/>
      <c r="B1" s="28" t="s">
        <v>35</v>
      </c>
      <c r="C1" s="29"/>
      <c r="D1" s="30"/>
    </row>
    <row r="2" spans="1:4">
      <c r="A2" s="28" t="s">
        <v>13</v>
      </c>
      <c r="B2" s="27" t="s">
        <v>36</v>
      </c>
      <c r="C2" s="31" t="s">
        <v>37</v>
      </c>
      <c r="D2" s="32" t="s">
        <v>38</v>
      </c>
    </row>
    <row r="3" spans="1:4">
      <c r="A3" s="27" t="s">
        <v>6</v>
      </c>
      <c r="B3" s="33">
        <v>35</v>
      </c>
      <c r="C3" s="34">
        <v>30</v>
      </c>
      <c r="D3" s="35">
        <v>30</v>
      </c>
    </row>
    <row r="4" spans="1:4">
      <c r="A4" s="36" t="s">
        <v>0</v>
      </c>
      <c r="B4" s="37">
        <v>50</v>
      </c>
      <c r="C4" s="38">
        <v>10</v>
      </c>
      <c r="D4" s="39">
        <v>40</v>
      </c>
    </row>
    <row r="5" spans="1:4">
      <c r="A5" s="36" t="s">
        <v>2</v>
      </c>
      <c r="B5" s="37">
        <v>40</v>
      </c>
      <c r="C5" s="38">
        <v>110</v>
      </c>
      <c r="D5" s="39">
        <v>10</v>
      </c>
    </row>
    <row r="6" spans="1:4">
      <c r="A6" s="36" t="s">
        <v>4</v>
      </c>
      <c r="B6" s="37">
        <v>60</v>
      </c>
      <c r="C6" s="38">
        <v>10</v>
      </c>
      <c r="D6" s="39">
        <v>50</v>
      </c>
    </row>
    <row r="7" spans="1:4">
      <c r="A7" s="36" t="s">
        <v>39</v>
      </c>
      <c r="B7" s="37"/>
      <c r="C7" s="38"/>
      <c r="D7" s="39"/>
    </row>
    <row r="8" spans="1:4" ht="15.75" customHeight="1">
      <c r="A8" s="40" t="s">
        <v>27</v>
      </c>
      <c r="B8" s="41">
        <v>185</v>
      </c>
      <c r="C8" s="42">
        <v>160</v>
      </c>
      <c r="D8" s="43">
        <v>130</v>
      </c>
    </row>
    <row r="12" spans="1:4" ht="15.75" customHeight="1">
      <c r="A12" s="14" t="s">
        <v>17</v>
      </c>
      <c r="B12" s="15">
        <f ca="1">avancement!D2</f>
        <v>0.89552238805970152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workbookViewId="0">
      <selection activeCell="D23" sqref="D23"/>
    </sheetView>
  </sheetViews>
  <sheetFormatPr baseColWidth="10" defaultColWidth="12.59765625" defaultRowHeight="15.75" customHeight="1"/>
  <cols>
    <col min="1" max="1" width="15.73046875" customWidth="1"/>
    <col min="2" max="2" width="17.86328125" customWidth="1"/>
    <col min="3" max="3" width="17" customWidth="1"/>
    <col min="4" max="4" width="18.265625" customWidth="1"/>
    <col min="5" max="5" width="13.73046875" customWidth="1"/>
  </cols>
  <sheetData>
    <row r="1" spans="1:5" ht="15.75" customHeight="1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32</v>
      </c>
    </row>
    <row r="2" spans="1:5" ht="15.75" customHeight="1">
      <c r="A2" s="17">
        <f>SUM('liste des taches'!H:H)</f>
        <v>670</v>
      </c>
      <c r="B2" s="17">
        <f ca="1">SUM('liste des taches'!I:I)</f>
        <v>600</v>
      </c>
      <c r="C2" s="17">
        <f ca="1">SUM('liste des taches'!J:J)</f>
        <v>70</v>
      </c>
      <c r="D2" s="18">
        <f ca="1">(B2/(B2+C2))</f>
        <v>0.89552238805970152</v>
      </c>
      <c r="E2" s="19">
        <f ca="1">((B2+C2)-A2)/A2</f>
        <v>0</v>
      </c>
    </row>
    <row r="3" spans="1:5" ht="15.75" customHeight="1">
      <c r="A3" s="20"/>
      <c r="B3" s="20"/>
      <c r="C3" s="17">
        <f ca="1">C2/60</f>
        <v>1.1666666666666667</v>
      </c>
      <c r="D3" s="20" t="s">
        <v>33</v>
      </c>
      <c r="E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4"/>
  <sheetViews>
    <sheetView workbookViewId="0">
      <selection activeCell="D2" sqref="D2"/>
    </sheetView>
  </sheetViews>
  <sheetFormatPr baseColWidth="10" defaultColWidth="12.59765625" defaultRowHeight="15.75" customHeight="1"/>
  <sheetData>
    <row r="1" spans="1:5" ht="15.75" customHeight="1">
      <c r="A1" s="21" t="s">
        <v>7</v>
      </c>
      <c r="B1" s="22" t="s">
        <v>34</v>
      </c>
      <c r="C1" s="23">
        <v>46048</v>
      </c>
      <c r="D1" s="23">
        <v>46049</v>
      </c>
      <c r="E1" s="23">
        <v>46050</v>
      </c>
    </row>
    <row r="2" spans="1:5" ht="15.75" customHeight="1">
      <c r="A2" s="24">
        <v>1</v>
      </c>
      <c r="B2" s="17">
        <f t="shared" ref="B2:B10" si="0">SUM(D2:P2)</f>
        <v>20</v>
      </c>
      <c r="C2" s="20"/>
      <c r="D2" s="24">
        <v>20</v>
      </c>
      <c r="E2" s="20"/>
    </row>
    <row r="3" spans="1:5" ht="15.75" customHeight="1">
      <c r="A3" s="24">
        <v>2</v>
      </c>
      <c r="B3" s="17">
        <f t="shared" si="0"/>
        <v>0</v>
      </c>
      <c r="C3" s="20"/>
      <c r="D3" s="20"/>
      <c r="E3" s="20"/>
    </row>
    <row r="4" spans="1:5" ht="15.75" customHeight="1">
      <c r="A4" s="24">
        <v>3</v>
      </c>
      <c r="B4" s="17">
        <f t="shared" si="0"/>
        <v>10</v>
      </c>
      <c r="C4" s="24">
        <v>20</v>
      </c>
      <c r="D4" s="24">
        <v>10</v>
      </c>
      <c r="E4" s="20"/>
    </row>
    <row r="5" spans="1:5" ht="15.75" customHeight="1">
      <c r="A5" s="24">
        <v>4</v>
      </c>
      <c r="B5" s="17">
        <f t="shared" si="0"/>
        <v>0</v>
      </c>
      <c r="C5" s="20"/>
      <c r="D5" s="20"/>
      <c r="E5" s="20"/>
    </row>
    <row r="6" spans="1:5" ht="15.75" customHeight="1">
      <c r="A6" s="24">
        <v>5</v>
      </c>
      <c r="B6" s="17">
        <f t="shared" si="0"/>
        <v>10</v>
      </c>
      <c r="C6" s="20"/>
      <c r="D6" s="25">
        <v>10</v>
      </c>
      <c r="E6" s="20"/>
    </row>
    <row r="7" spans="1:5" ht="15.75" customHeight="1">
      <c r="A7" s="24">
        <v>6</v>
      </c>
      <c r="B7" s="17">
        <f t="shared" si="0"/>
        <v>0</v>
      </c>
      <c r="C7" s="20"/>
      <c r="D7" s="20"/>
      <c r="E7" s="20"/>
    </row>
    <row r="8" spans="1:5" ht="15.75" customHeight="1">
      <c r="A8" s="24">
        <v>7</v>
      </c>
      <c r="B8" s="17">
        <f t="shared" si="0"/>
        <v>90</v>
      </c>
      <c r="C8" s="20"/>
      <c r="D8" s="25">
        <v>90</v>
      </c>
      <c r="E8" s="20"/>
    </row>
    <row r="9" spans="1:5" ht="15.75" customHeight="1">
      <c r="A9" s="26">
        <v>8</v>
      </c>
      <c r="B9" s="17">
        <f t="shared" si="0"/>
        <v>30</v>
      </c>
      <c r="D9" s="26">
        <v>30</v>
      </c>
    </row>
    <row r="10" spans="1:5" ht="15.75" customHeight="1">
      <c r="A10" s="26">
        <v>9</v>
      </c>
      <c r="B10" s="17">
        <f t="shared" si="0"/>
        <v>0</v>
      </c>
    </row>
    <row r="11" spans="1:5" ht="15.75" customHeight="1">
      <c r="A11" s="24">
        <v>10</v>
      </c>
    </row>
    <row r="12" spans="1:5" ht="15.75" customHeight="1">
      <c r="A12" s="24">
        <v>11</v>
      </c>
    </row>
    <row r="13" spans="1:5" ht="15.75" customHeight="1">
      <c r="A13" s="24">
        <v>12</v>
      </c>
    </row>
    <row r="14" spans="1:5" ht="15.75" customHeight="1">
      <c r="A14" s="24">
        <v>13</v>
      </c>
    </row>
    <row r="15" spans="1:5" ht="15.75" customHeight="1">
      <c r="A15" s="24">
        <v>14</v>
      </c>
    </row>
    <row r="16" spans="1:5" ht="15.75" customHeight="1">
      <c r="A16" s="24">
        <v>15</v>
      </c>
    </row>
    <row r="17" spans="1:1" ht="15.75" customHeight="1">
      <c r="A17" s="24">
        <v>16</v>
      </c>
    </row>
    <row r="18" spans="1:1" ht="15.75" customHeight="1">
      <c r="A18" s="24">
        <v>17</v>
      </c>
    </row>
    <row r="19" spans="1:1" ht="15.75" customHeight="1">
      <c r="A19" s="24">
        <v>18</v>
      </c>
    </row>
    <row r="20" spans="1:1" ht="15.75" customHeight="1">
      <c r="A20" s="24">
        <v>19</v>
      </c>
    </row>
    <row r="21" spans="1:1" ht="15.75" customHeight="1">
      <c r="A21" s="24">
        <v>20</v>
      </c>
    </row>
    <row r="22" spans="1:1" ht="15.75" customHeight="1">
      <c r="A22" s="24">
        <v>21</v>
      </c>
    </row>
    <row r="23" spans="1:1" ht="15.75" customHeight="1">
      <c r="A23" s="24">
        <v>22</v>
      </c>
    </row>
    <row r="24" spans="1:1" ht="15.75" customHeight="1">
      <c r="A2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liste des taches</vt:lpstr>
      <vt:lpstr>groupe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Itoavina RAMAROKOTO</cp:lastModifiedBy>
  <dcterms:modified xsi:type="dcterms:W3CDTF">2026-01-27T14:26:59Z</dcterms:modified>
</cp:coreProperties>
</file>